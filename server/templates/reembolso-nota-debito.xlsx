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 DÉBITO MÊS.ANO" sheetId="1" r:id="rId4"/>
    <sheet state="hidden" name="CCS" sheetId="2" r:id="rId5"/>
  </sheets>
  <definedNames/>
  <calcPr/>
  <extLst>
    <ext uri="GoogleSheetsCustomDataVersion2">
      <go:sheetsCustomData xmlns:go="http://customooxmlschemas.google.com/" r:id="rId6" roundtripDataChecksum="qqE+nGm1MARd3SfA/AMFczKrYrSeSaVbhSWgA8QaqyQ="/>
    </ext>
  </extLst>
</workbook>
</file>

<file path=xl/sharedStrings.xml><?xml version="1.0" encoding="utf-8"?>
<sst xmlns="http://schemas.openxmlformats.org/spreadsheetml/2006/main" count="84" uniqueCount="75">
  <si>
    <t>NOTA DÉBITO/ RECIBO FATURA</t>
  </si>
  <si>
    <t>N°:</t>
  </si>
  <si>
    <t>EMISSÃO:</t>
  </si>
  <si>
    <t>REFERÊNCIA:</t>
  </si>
  <si>
    <t>PREENCHA COM AS SUAS INFORMAÇÕES</t>
  </si>
  <si>
    <t xml:space="preserve">NOME: </t>
  </si>
  <si>
    <t xml:space="preserve">ENDEREÇO: </t>
  </si>
  <si>
    <t xml:space="preserve">CNPJ: </t>
  </si>
  <si>
    <t xml:space="preserve">EMAIL:  </t>
  </si>
  <si>
    <t>PREENCHA COM AS INFORMAÇÕES DO SEU CLIENTE</t>
  </si>
  <si>
    <t>NOME:</t>
  </si>
  <si>
    <t>PX DATA TECNOLOGIA EM INFORMÁTICA LTDA</t>
  </si>
  <si>
    <t>ENDEREÇO:</t>
  </si>
  <si>
    <t>AVENIDA DO PEPE, 700, SALA 208 A 211 - RIO DE JANEIRO - BARRA DA TIJUCA</t>
  </si>
  <si>
    <t>CNPJ:</t>
  </si>
  <si>
    <t>24.602.118/0001-58</t>
  </si>
  <si>
    <t>EMAIL:</t>
  </si>
  <si>
    <t>financeiro@pxdata.ai</t>
  </si>
  <si>
    <t>ID</t>
  </si>
  <si>
    <t>DESCRIÇÃO</t>
  </si>
  <si>
    <t>LINHA DE DESPSA</t>
  </si>
  <si>
    <t>CONTA CONTÁBIL</t>
  </si>
  <si>
    <t>VALOR</t>
  </si>
  <si>
    <t>DESPESA 1</t>
  </si>
  <si>
    <t>LICENCIAMENTO CLAUDE</t>
  </si>
  <si>
    <t>DESPESA 4</t>
  </si>
  <si>
    <t>DESPESA 2</t>
  </si>
  <si>
    <t>LICENCIAMENTO CURSOR  (MAIO. 2026)</t>
  </si>
  <si>
    <t>LICENCIAMENTO CURSOR</t>
  </si>
  <si>
    <t>DESPESA 3</t>
  </si>
  <si>
    <t>Lanche PX</t>
  </si>
  <si>
    <t>ALIMENTAÇÃO</t>
  </si>
  <si>
    <t>DESPESA 5</t>
  </si>
  <si>
    <t>DESPESA 6</t>
  </si>
  <si>
    <t>DESPESA 7</t>
  </si>
  <si>
    <t>DESPESA 8</t>
  </si>
  <si>
    <t>DESPESA 9</t>
  </si>
  <si>
    <t>DESPESA 10</t>
  </si>
  <si>
    <t>DESPESA 11</t>
  </si>
  <si>
    <t>DESPESA 12</t>
  </si>
  <si>
    <t>DESPESA 13</t>
  </si>
  <si>
    <t>DESPESA 14</t>
  </si>
  <si>
    <t>DESPESA 15</t>
  </si>
  <si>
    <t>TOTAL</t>
  </si>
  <si>
    <t>DADOS DE PAGAMENTO:</t>
  </si>
  <si>
    <t>TIPO DE CONTA:</t>
  </si>
  <si>
    <t>CORRENTE OU POUPANÇA</t>
  </si>
  <si>
    <t>BANCO:</t>
  </si>
  <si>
    <t>AGÊNCIA:</t>
  </si>
  <si>
    <t>C/C:</t>
  </si>
  <si>
    <t>PIX:</t>
  </si>
  <si>
    <t>DEMAIS OBSERVAÇÕES:</t>
  </si>
  <si>
    <t>ESTACIONAMENTO</t>
  </si>
  <si>
    <t>PASSAGENS</t>
  </si>
  <si>
    <t>PEDÁGIO</t>
  </si>
  <si>
    <t>TRANSPORTE</t>
  </si>
  <si>
    <t>HOSPEDAGEM</t>
  </si>
  <si>
    <t>MATERIAL DE ESCRITÓRIO</t>
  </si>
  <si>
    <t>MATERIAL DE PUBLICIDADE</t>
  </si>
  <si>
    <t>TELEFONIA</t>
  </si>
  <si>
    <t>DOMÍNIOS GO DADDY</t>
  </si>
  <si>
    <t>LICENCIAMENTO CANVA</t>
  </si>
  <si>
    <t>LICENCIAMENTO CHAT GPT</t>
  </si>
  <si>
    <t>LICENCIAMENTO CLICKUP</t>
  </si>
  <si>
    <t>LICENCIAMENTO DOCUSIGN</t>
  </si>
  <si>
    <t>LICENCIAMENTO FIGMA</t>
  </si>
  <si>
    <t>LICENCIAMENTO GITHUB</t>
  </si>
  <si>
    <t>LICENCIAMENTO GOOGLE INTERNET</t>
  </si>
  <si>
    <t>LICENCIAMENTO GOOGLE CLOUD</t>
  </si>
  <si>
    <t>LICENCIAMENTO HUBSPOT</t>
  </si>
  <si>
    <t>LICENCIAMENTO LINKEDIN</t>
  </si>
  <si>
    <t>LICENCIAMENTO LOVABLE</t>
  </si>
  <si>
    <t>LICENCIAMENTO OPEN AI</t>
  </si>
  <si>
    <t>LICENCIAMENTO POSTMAN</t>
  </si>
  <si>
    <t>LICENCIAMENTO SONARCLOUD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</si>
</sst>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"/>
    <numFmt numFmtId="166" formatCode="dd/mm"/>
  </numFmts>
  <fonts count="10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Comfortaa"/>
    </font>
    <font/>
    <font>
      <b/>
      <sz val="11.0"/>
      <color theme="1"/>
      <name val="Comfortaa"/>
    </font>
    <font>
      <sz val="10.0"/>
      <color theme="0"/>
      <name val="Comfortaa"/>
    </font>
    <font>
      <sz val="9.0"/>
      <color theme="1"/>
      <name val="Comfortaa"/>
    </font>
    <font>
      <u/>
      <sz val="9.0"/>
      <color theme="10"/>
      <name val="Arial"/>
    </font>
    <font>
      <u/>
      <sz val="9.0"/>
      <color theme="1"/>
      <name val="Comfortaa"/>
    </font>
  </fonts>
  <fills count="5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/>
      <top/>
      <bottom style="thin">
        <color theme="0"/>
      </bottom>
    </border>
    <border>
      <left/>
      <right/>
      <top/>
      <bottom style="thin">
        <color theme="0"/>
      </bottom>
    </border>
    <border>
      <left/>
      <top/>
      <bottom style="thin">
        <color theme="0"/>
      </bottom>
    </border>
    <border>
      <top/>
      <bottom style="thin">
        <color theme="0"/>
      </bottom>
    </border>
    <border>
      <left style="thick">
        <color rgb="FF000000"/>
      </left>
      <right/>
      <top/>
      <bottom/>
    </border>
    <border>
      <left/>
      <right/>
      <top/>
      <bottom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1" fillId="0" fontId="3" numFmtId="0" xfId="0" applyAlignment="1" applyBorder="1" applyFont="1">
      <alignment vertical="center"/>
    </xf>
    <xf borderId="2" fillId="0" fontId="4" numFmtId="0" xfId="0" applyBorder="1" applyFont="1"/>
    <xf borderId="2" fillId="0" fontId="5" numFmtId="0" xfId="0" applyAlignment="1" applyBorder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0" fillId="0" fontId="3" numFmtId="0" xfId="0" applyAlignment="1" applyFont="1">
      <alignment vertical="center"/>
    </xf>
    <xf borderId="0" fillId="0" fontId="3" numFmtId="49" xfId="0" applyAlignment="1" applyFont="1" applyNumberFormat="1">
      <alignment vertical="center"/>
    </xf>
    <xf borderId="5" fillId="0" fontId="3" numFmtId="0" xfId="0" applyAlignment="1" applyBorder="1" applyFont="1">
      <alignment vertical="center"/>
    </xf>
    <xf borderId="5" fillId="0" fontId="3" numFmtId="165" xfId="0" applyAlignment="1" applyBorder="1" applyFont="1" applyNumberFormat="1">
      <alignment vertical="center"/>
    </xf>
    <xf borderId="6" fillId="0" fontId="4" numFmtId="0" xfId="0" applyBorder="1" applyFont="1"/>
    <xf borderId="7" fillId="0" fontId="4" numFmtId="0" xfId="0" applyBorder="1" applyFont="1"/>
    <xf borderId="7" fillId="0" fontId="3" numFmtId="0" xfId="0" applyAlignment="1" applyBorder="1" applyFont="1">
      <alignment vertical="center"/>
    </xf>
    <xf borderId="7" fillId="0" fontId="3" numFmtId="164" xfId="0" applyAlignment="1" applyBorder="1" applyFont="1" applyNumberFormat="1">
      <alignment vertical="center"/>
    </xf>
    <xf borderId="8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3" numFmtId="164" xfId="0" applyAlignment="1" applyFont="1" applyNumberFormat="1">
      <alignment vertical="center"/>
    </xf>
    <xf borderId="9" fillId="2" fontId="6" numFmtId="0" xfId="0" applyAlignment="1" applyBorder="1" applyFill="1" applyFont="1">
      <alignment vertical="center"/>
    </xf>
    <xf borderId="10" fillId="2" fontId="6" numFmtId="0" xfId="0" applyAlignment="1" applyBorder="1" applyFont="1">
      <alignment vertical="center"/>
    </xf>
    <xf borderId="11" fillId="2" fontId="6" numFmtId="0" xfId="0" applyAlignment="1" applyBorder="1" applyFont="1">
      <alignment horizontal="center" vertical="center"/>
    </xf>
    <xf borderId="12" fillId="0" fontId="4" numFmtId="0" xfId="0" applyBorder="1" applyFont="1"/>
    <xf borderId="4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10" fillId="2" fontId="6" numFmtId="0" xfId="0" applyAlignment="1" applyBorder="1" applyFont="1">
      <alignment horizontal="right" vertical="center"/>
    </xf>
    <xf borderId="0" fillId="0" fontId="7" numFmtId="0" xfId="0" applyAlignment="1" applyFont="1">
      <alignment readingOrder="0" vertical="center"/>
    </xf>
    <xf borderId="9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readingOrder="0" vertical="center"/>
    </xf>
    <xf borderId="0" fillId="0" fontId="7" numFmtId="164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13" fillId="3" fontId="3" numFmtId="0" xfId="0" applyAlignment="1" applyBorder="1" applyFill="1" applyFont="1">
      <alignment vertical="center"/>
    </xf>
    <xf borderId="14" fillId="3" fontId="3" numFmtId="0" xfId="0" applyAlignment="1" applyBorder="1" applyFont="1">
      <alignment vertical="center"/>
    </xf>
    <xf borderId="14" fillId="3" fontId="3" numFmtId="166" xfId="0" applyAlignment="1" applyBorder="1" applyFont="1" applyNumberFormat="1">
      <alignment vertical="center"/>
    </xf>
    <xf borderId="14" fillId="3" fontId="3" numFmtId="164" xfId="0" applyAlignment="1" applyBorder="1" applyFont="1" applyNumberFormat="1">
      <alignment vertical="center"/>
    </xf>
    <xf borderId="0" fillId="0" fontId="3" numFmtId="0" xfId="0" applyAlignment="1" applyFont="1">
      <alignment horizontal="right" vertical="center"/>
    </xf>
    <xf borderId="0" fillId="0" fontId="7" numFmtId="0" xfId="0" applyAlignment="1" applyFont="1">
      <alignment horizontal="right" vertical="center"/>
    </xf>
    <xf borderId="0" fillId="0" fontId="9" numFmtId="0" xfId="0" applyAlignment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6" fillId="0" fontId="3" numFmtId="164" xfId="0" applyAlignment="1" applyBorder="1" applyFont="1" applyNumberFormat="1">
      <alignment vertical="center"/>
    </xf>
    <xf borderId="17" fillId="0" fontId="3" numFmtId="0" xfId="0" applyAlignment="1" applyBorder="1" applyFont="1">
      <alignment vertical="center"/>
    </xf>
    <xf borderId="18" fillId="2" fontId="6" numFmtId="0" xfId="0" applyAlignment="1" applyBorder="1" applyFont="1">
      <alignment horizontal="center" vertical="center"/>
    </xf>
    <xf borderId="18" fillId="0" fontId="1" numFmtId="0" xfId="0" applyBorder="1" applyFont="1"/>
    <xf borderId="18" fillId="4" fontId="7" numFmtId="0" xfId="0" applyAlignment="1" applyBorder="1" applyFill="1" applyFont="1">
      <alignment vertical="center"/>
    </xf>
    <xf borderId="18" fillId="4" fontId="7" numFmtId="0" xfId="0" applyAlignment="1" applyBorder="1" applyFont="1">
      <alignment horizontal="center" vertical="center"/>
    </xf>
    <xf borderId="18" fillId="4" fontId="7" numFmtId="166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95250</xdr:rowOff>
    </xdr:from>
    <xdr:ext cx="1876425" cy="6477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15.25"/>
    <col customWidth="1" min="3" max="3" width="55.25"/>
    <col customWidth="1" min="4" max="4" width="28.25"/>
    <col customWidth="1" min="5" max="5" width="19.0"/>
    <col customWidth="1" min="6" max="6" width="16.13"/>
    <col customWidth="1" min="7" max="7" width="8.88"/>
    <col customWidth="1" min="8" max="8" width="3.75"/>
    <col customWidth="1" min="9" max="9" width="14.38"/>
    <col customWidth="1" min="10" max="10" width="54.13"/>
    <col customWidth="1" min="11" max="20" width="14.38"/>
  </cols>
  <sheetData>
    <row r="1" ht="16.5" customHeight="1">
      <c r="A1" s="1"/>
      <c r="B1" s="1"/>
      <c r="C1" s="1"/>
      <c r="D1" s="1"/>
      <c r="E1" s="2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/>
      <c r="C2" s="5"/>
      <c r="D2" s="5"/>
      <c r="E2" s="6" t="s">
        <v>0</v>
      </c>
      <c r="F2" s="5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8"/>
      <c r="E3" s="9" t="s">
        <v>1</v>
      </c>
      <c r="F3" s="10"/>
      <c r="G3" s="1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8"/>
      <c r="E4" s="9" t="s">
        <v>2</v>
      </c>
      <c r="F4" s="10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3"/>
      <c r="C5" s="14"/>
      <c r="D5" s="14"/>
      <c r="E5" s="15" t="s">
        <v>3</v>
      </c>
      <c r="F5" s="16"/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8"/>
      <c r="C6" s="9"/>
      <c r="D6" s="9"/>
      <c r="E6" s="9"/>
      <c r="F6" s="19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2"/>
      <c r="B7" s="20" t="s">
        <v>4</v>
      </c>
      <c r="C7" s="21"/>
      <c r="D7" s="21"/>
      <c r="E7" s="22"/>
      <c r="F7" s="23"/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2"/>
      <c r="B8" s="24" t="s">
        <v>5</v>
      </c>
      <c r="C8" s="25"/>
      <c r="D8" s="9"/>
      <c r="E8" s="26"/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2"/>
      <c r="B9" s="24" t="s">
        <v>6</v>
      </c>
      <c r="C9" s="25"/>
      <c r="D9" s="9"/>
      <c r="E9" s="9"/>
      <c r="F9" s="19"/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2"/>
      <c r="B10" s="24" t="s">
        <v>7</v>
      </c>
      <c r="C10" s="25"/>
      <c r="D10" s="9"/>
      <c r="E10" s="9"/>
      <c r="F10" s="19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2"/>
      <c r="B11" s="24" t="s">
        <v>8</v>
      </c>
      <c r="C11" s="27"/>
      <c r="D11" s="9"/>
      <c r="E11" s="9"/>
      <c r="F11" s="19"/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2"/>
      <c r="B12" s="20" t="s">
        <v>9</v>
      </c>
      <c r="C12" s="21"/>
      <c r="D12" s="21"/>
      <c r="E12" s="28"/>
      <c r="F12" s="28"/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2"/>
      <c r="B13" s="24" t="s">
        <v>10</v>
      </c>
      <c r="C13" s="25" t="s">
        <v>11</v>
      </c>
      <c r="D13" s="9"/>
      <c r="E13" s="9"/>
      <c r="F13" s="19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2"/>
      <c r="B14" s="24" t="s">
        <v>12</v>
      </c>
      <c r="C14" s="29" t="s">
        <v>13</v>
      </c>
      <c r="D14" s="9"/>
      <c r="E14" s="9"/>
      <c r="F14" s="19"/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2"/>
      <c r="B15" s="24" t="s">
        <v>14</v>
      </c>
      <c r="C15" s="25" t="s">
        <v>15</v>
      </c>
      <c r="D15" s="9"/>
      <c r="E15" s="9"/>
      <c r="F15" s="19"/>
      <c r="G15" s="1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2"/>
      <c r="B16" s="24" t="s">
        <v>16</v>
      </c>
      <c r="C16" s="29" t="s">
        <v>17</v>
      </c>
      <c r="D16" s="9"/>
      <c r="E16" s="9"/>
      <c r="F16" s="19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2"/>
      <c r="B17" s="18"/>
      <c r="C17" s="9"/>
      <c r="D17" s="9"/>
      <c r="E17" s="9"/>
      <c r="F17" s="19"/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2"/>
      <c r="B18" s="30" t="s">
        <v>18</v>
      </c>
      <c r="C18" s="31" t="s">
        <v>19</v>
      </c>
      <c r="D18" s="31" t="s">
        <v>20</v>
      </c>
      <c r="E18" s="31" t="s">
        <v>21</v>
      </c>
      <c r="F18" s="31" t="s">
        <v>22</v>
      </c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2"/>
      <c r="B19" s="24" t="s">
        <v>23</v>
      </c>
      <c r="C19" s="29" t="s">
        <v>24</v>
      </c>
      <c r="D19" s="29"/>
      <c r="E19" s="32" t="str">
        <f t="array" ref="E19">IF(D19="","",IFERROR(XLOOKUP(D19,CCS!A:A,CCS!B:B),""))</f>
        <v/>
      </c>
      <c r="F19" s="33">
        <v>110.0</v>
      </c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2"/>
      <c r="B20" s="24" t="s">
        <v>25</v>
      </c>
      <c r="C20" s="29" t="s">
        <v>24</v>
      </c>
      <c r="D20" s="25"/>
      <c r="E20" s="32" t="str">
        <f t="array" ref="E20">IF(D20="","",IFERROR(XLOOKUP(D20,CCS!A:A,CCS!B:B),""))</f>
        <v/>
      </c>
      <c r="F20" s="33">
        <v>20.0</v>
      </c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2"/>
      <c r="B21" s="24" t="s">
        <v>26</v>
      </c>
      <c r="C21" s="29" t="s">
        <v>27</v>
      </c>
      <c r="D21" s="25" t="s">
        <v>28</v>
      </c>
      <c r="E21" s="32">
        <f t="array" ref="E21">IF(D21="","",IFERROR(XLOOKUP(D21,CCS!A:A,CCS!B:B),""))</f>
        <v>42060100002</v>
      </c>
      <c r="F21" s="34">
        <v>111.6</v>
      </c>
      <c r="G21" s="1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2"/>
      <c r="B22" s="24" t="s">
        <v>29</v>
      </c>
      <c r="C22" s="29" t="s">
        <v>30</v>
      </c>
      <c r="D22" s="29" t="s">
        <v>31</v>
      </c>
      <c r="E22" s="32">
        <f t="array" ref="E22">IF(D22="","",IFERROR(XLOOKUP(D22,CCS!A:A,CCS!B:B),""))</f>
        <v>42020600016</v>
      </c>
      <c r="F22" s="33">
        <v>79.07</v>
      </c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2"/>
      <c r="B23" s="24" t="s">
        <v>32</v>
      </c>
      <c r="C23" s="29" t="s">
        <v>30</v>
      </c>
      <c r="D23" s="29" t="s">
        <v>31</v>
      </c>
      <c r="E23" s="32">
        <f t="array" ref="E23">IF(D23="","",IFERROR(XLOOKUP(D23,CCS!A:A,CCS!B:B),""))</f>
        <v>42020600016</v>
      </c>
      <c r="F23" s="33">
        <v>44.97</v>
      </c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2"/>
      <c r="B24" s="24" t="s">
        <v>33</v>
      </c>
      <c r="C24" s="29" t="s">
        <v>30</v>
      </c>
      <c r="D24" s="29" t="s">
        <v>31</v>
      </c>
      <c r="E24" s="32">
        <f t="array" ref="E24">IF(D24="","",IFERROR(XLOOKUP(D24,CCS!A:A,CCS!B:B),""))</f>
        <v>42020600016</v>
      </c>
      <c r="F24" s="33">
        <v>70.21</v>
      </c>
      <c r="G24" s="1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2"/>
      <c r="B25" s="24" t="s">
        <v>34</v>
      </c>
      <c r="C25" s="25"/>
      <c r="D25" s="25"/>
      <c r="E25" s="32" t="str">
        <f t="array" ref="E25">IF(D25="","",IFERROR(XLOOKUP(D25,CCS!A:A,CCS!B:B),""))</f>
        <v/>
      </c>
      <c r="F25" s="34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2"/>
      <c r="B26" s="24" t="s">
        <v>35</v>
      </c>
      <c r="C26" s="25"/>
      <c r="D26" s="25"/>
      <c r="E26" s="32" t="str">
        <f t="array" ref="E26">IF(D26="","",IFERROR(XLOOKUP(D26,CCS!A:A,CCS!B:B),""))</f>
        <v/>
      </c>
      <c r="F26" s="34"/>
      <c r="G26" s="1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2"/>
      <c r="B27" s="24" t="s">
        <v>36</v>
      </c>
      <c r="C27" s="25"/>
      <c r="D27" s="35"/>
      <c r="E27" s="32" t="str">
        <f t="array" ref="E27">IF(D27="","",IFERROR(XLOOKUP(D27,CCS!A:A,CCS!B:B),""))</f>
        <v/>
      </c>
      <c r="F27" s="34"/>
      <c r="G27" s="1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2"/>
      <c r="B28" s="24" t="s">
        <v>37</v>
      </c>
      <c r="C28" s="25"/>
      <c r="D28" s="35"/>
      <c r="E28" s="32" t="str">
        <f t="array" ref="E28">IF(D28="","",IFERROR(XLOOKUP(D28,CCS!A:A,CCS!B:B),""))</f>
        <v/>
      </c>
      <c r="F28" s="34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2"/>
      <c r="B29" s="24" t="s">
        <v>38</v>
      </c>
      <c r="C29" s="25"/>
      <c r="D29" s="35"/>
      <c r="E29" s="32" t="str">
        <f t="array" ref="E29">IF(D29="","",IFERROR(XLOOKUP(D29,CCS!A:A,CCS!B:B),""))</f>
        <v/>
      </c>
      <c r="F29" s="34"/>
      <c r="G29" s="1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2"/>
      <c r="B30" s="24" t="s">
        <v>39</v>
      </c>
      <c r="C30" s="25"/>
      <c r="D30" s="35"/>
      <c r="E30" s="32" t="str">
        <f t="array" ref="E30">IF(D30="","",IFERROR(XLOOKUP(D30,CCS!A:A,CCS!B:B),""))</f>
        <v/>
      </c>
      <c r="F30" s="34"/>
      <c r="G30" s="1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4" t="s">
        <v>40</v>
      </c>
      <c r="C31" s="25"/>
      <c r="D31" s="35"/>
      <c r="E31" s="32" t="str">
        <f t="array" ref="E31">IF(D31="","",IFERROR(XLOOKUP(D31,CCS!A:A,CCS!B:B),""))</f>
        <v/>
      </c>
      <c r="F31" s="34"/>
      <c r="G31" s="1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4" t="s">
        <v>41</v>
      </c>
      <c r="C32" s="25"/>
      <c r="D32" s="35"/>
      <c r="E32" s="32" t="str">
        <f t="array" ref="E32">IF(D32="","",IFERROR(XLOOKUP(D32,CCS!A:A,CCS!B:B),""))</f>
        <v/>
      </c>
      <c r="F32" s="34"/>
      <c r="G32" s="1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4" t="s">
        <v>42</v>
      </c>
      <c r="C33" s="9"/>
      <c r="D33" s="36"/>
      <c r="E33" s="32" t="str">
        <f t="array" ref="E33">IF(D33="","",IFERROR(XLOOKUP(D33,CCS!A:A,CCS!B:B),""))</f>
        <v/>
      </c>
      <c r="F33" s="19"/>
      <c r="G33" s="1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37" t="s">
        <v>43</v>
      </c>
      <c r="C34" s="38"/>
      <c r="D34" s="39"/>
      <c r="E34" s="38"/>
      <c r="F34" s="40">
        <f>SUM(F19:F33)</f>
        <v>435.85</v>
      </c>
      <c r="G34" s="1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8"/>
      <c r="C35" s="9"/>
      <c r="D35" s="36"/>
      <c r="E35" s="9"/>
      <c r="F35" s="19"/>
      <c r="G35" s="1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8"/>
      <c r="C36" s="9"/>
      <c r="D36" s="36"/>
      <c r="E36" s="9"/>
      <c r="F36" s="19"/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2"/>
      <c r="B37" s="20" t="s">
        <v>44</v>
      </c>
      <c r="C37" s="21"/>
      <c r="D37" s="21"/>
      <c r="E37" s="28"/>
      <c r="F37" s="28"/>
      <c r="G37" s="1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2"/>
      <c r="B38" s="24" t="s">
        <v>45</v>
      </c>
      <c r="C38" s="25" t="s">
        <v>46</v>
      </c>
      <c r="D38" s="1"/>
      <c r="E38" s="9"/>
      <c r="F38" s="19"/>
      <c r="G38" s="1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2"/>
      <c r="B39" s="24" t="s">
        <v>47</v>
      </c>
      <c r="C39" s="25"/>
      <c r="D39" s="25"/>
      <c r="E39" s="41"/>
      <c r="F39" s="19"/>
      <c r="G39" s="1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2"/>
      <c r="B40" s="24" t="s">
        <v>48</v>
      </c>
      <c r="C40" s="25"/>
      <c r="D40" s="42"/>
      <c r="E40" s="2"/>
      <c r="F40" s="19"/>
      <c r="G40" s="1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2"/>
      <c r="B41" s="24" t="s">
        <v>49</v>
      </c>
      <c r="C41" s="25"/>
      <c r="D41" s="25"/>
      <c r="E41" s="2"/>
      <c r="F41" s="19"/>
      <c r="G41" s="1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24" t="s">
        <v>50</v>
      </c>
      <c r="C42" s="43"/>
      <c r="D42" s="25"/>
      <c r="E42" s="9"/>
      <c r="F42" s="19"/>
      <c r="G42" s="1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2"/>
      <c r="B43" s="20" t="s">
        <v>51</v>
      </c>
      <c r="C43" s="21"/>
      <c r="D43" s="21"/>
      <c r="E43" s="28"/>
      <c r="F43" s="28"/>
      <c r="G43" s="1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8"/>
      <c r="C44" s="9"/>
      <c r="D44" s="9"/>
      <c r="E44" s="9"/>
      <c r="F44" s="19"/>
      <c r="G44" s="1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8"/>
      <c r="C45" s="9"/>
      <c r="D45" s="9"/>
      <c r="E45" s="9"/>
      <c r="F45" s="19"/>
      <c r="G45" s="1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4"/>
      <c r="C46" s="45"/>
      <c r="D46" s="45"/>
      <c r="E46" s="45"/>
      <c r="F46" s="46"/>
      <c r="G46" s="4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6.5" customHeight="1">
      <c r="A1001" s="1"/>
      <c r="B1001" s="1"/>
      <c r="C1001" s="1"/>
      <c r="D1001" s="1"/>
      <c r="E1001" s="1"/>
      <c r="F1001" s="3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6.5" customHeight="1">
      <c r="A1002" s="1"/>
      <c r="B1002" s="1"/>
      <c r="C1002" s="1"/>
      <c r="D1002" s="1"/>
      <c r="E1002" s="1"/>
      <c r="F1002" s="3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6.5" customHeight="1">
      <c r="A1003" s="1"/>
      <c r="B1003" s="1"/>
      <c r="C1003" s="1"/>
      <c r="D1003" s="1"/>
      <c r="E1003" s="1"/>
      <c r="F1003" s="3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6.5" customHeight="1">
      <c r="A1004" s="1"/>
      <c r="B1004" s="1"/>
      <c r="C1004" s="1"/>
      <c r="D1004" s="1"/>
      <c r="E1004" s="1"/>
      <c r="F1004" s="3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6.5" customHeight="1">
      <c r="A1005" s="1"/>
      <c r="B1005" s="1"/>
      <c r="C1005" s="1"/>
      <c r="D1005" s="1"/>
      <c r="E1005" s="1"/>
      <c r="F1005" s="3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6.5" customHeight="1">
      <c r="A1006" s="1"/>
      <c r="B1006" s="1"/>
      <c r="C1006" s="1"/>
      <c r="D1006" s="1"/>
      <c r="E1006" s="1"/>
      <c r="F1006" s="3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6.5" customHeight="1">
      <c r="A1007" s="1"/>
      <c r="B1007" s="1"/>
      <c r="C1007" s="1"/>
      <c r="D1007" s="1"/>
      <c r="E1007" s="1"/>
      <c r="F1007" s="3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6.5" customHeight="1">
      <c r="A1008" s="1"/>
      <c r="B1008" s="1"/>
      <c r="C1008" s="1"/>
      <c r="D1008" s="1"/>
      <c r="E1008" s="1"/>
      <c r="F1008" s="3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6.5" customHeight="1">
      <c r="A1009" s="1"/>
      <c r="B1009" s="1"/>
      <c r="C1009" s="1"/>
      <c r="D1009" s="1"/>
      <c r="E1009" s="1"/>
      <c r="F1009" s="3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6.5" customHeight="1">
      <c r="A1010" s="1"/>
      <c r="B1010" s="1"/>
      <c r="C1010" s="1"/>
      <c r="D1010" s="1"/>
      <c r="E1010" s="1"/>
      <c r="F1010" s="3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6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6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6.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4">
    <mergeCell ref="B2:D5"/>
    <mergeCell ref="E2:G2"/>
    <mergeCell ref="E7:F7"/>
    <mergeCell ref="E8:F8"/>
  </mergeCells>
  <dataValidations>
    <dataValidation type="list" allowBlank="1" showErrorMessage="1" sqref="D19:D33">
      <formula1>CCS!$A$2:$A$26</formula1>
    </dataValidation>
  </dataValidation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75"/>
    <col customWidth="1" min="2" max="3" width="25.63"/>
    <col customWidth="1" min="4" max="6" width="9.13"/>
    <col customWidth="1" min="7" max="26" width="8.63"/>
  </cols>
  <sheetData>
    <row r="1" ht="12.75" customHeight="1">
      <c r="A1" s="48" t="s">
        <v>20</v>
      </c>
      <c r="B1" s="48" t="s">
        <v>21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2.75" customHeight="1">
      <c r="A2" s="50" t="s">
        <v>31</v>
      </c>
      <c r="B2" s="51">
        <v>4.2020600016E10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2.75" customHeight="1">
      <c r="A3" s="50" t="s">
        <v>52</v>
      </c>
      <c r="B3" s="51">
        <v>4.2020600016E10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2.75" customHeight="1">
      <c r="A4" s="50" t="s">
        <v>53</v>
      </c>
      <c r="B4" s="51">
        <v>4.2020600016E10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2.75" customHeight="1">
      <c r="A5" s="50" t="s">
        <v>54</v>
      </c>
      <c r="B5" s="51">
        <v>4.2020600016E10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2.75" customHeight="1">
      <c r="A6" s="50" t="s">
        <v>55</v>
      </c>
      <c r="B6" s="51">
        <v>4.2020600016E10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2.75" customHeight="1">
      <c r="A7" s="50" t="s">
        <v>56</v>
      </c>
      <c r="B7" s="51">
        <v>4.2020600016E10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2.75" customHeight="1">
      <c r="A8" s="50" t="s">
        <v>57</v>
      </c>
      <c r="B8" s="51">
        <v>4.2020300004E10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2.75" customHeight="1">
      <c r="A9" s="50" t="s">
        <v>58</v>
      </c>
      <c r="B9" s="51">
        <v>4.2020300004E10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2.75" customHeight="1">
      <c r="A10" s="52" t="s">
        <v>59</v>
      </c>
      <c r="B10" s="51">
        <v>4.2020200008E10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2.75" customHeight="1">
      <c r="A11" s="50" t="s">
        <v>60</v>
      </c>
      <c r="B11" s="51">
        <v>4.1010100002E10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2.75" customHeight="1">
      <c r="A12" s="50" t="s">
        <v>61</v>
      </c>
      <c r="B12" s="51">
        <v>4.2010300001E10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2.75" customHeight="1">
      <c r="A13" s="50" t="s">
        <v>62</v>
      </c>
      <c r="B13" s="51">
        <v>4.2060100002E10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2.75" customHeight="1">
      <c r="A14" s="50" t="s">
        <v>63</v>
      </c>
      <c r="B14" s="51">
        <v>4.2020400002E10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2.75" customHeight="1">
      <c r="A15" s="50" t="s">
        <v>28</v>
      </c>
      <c r="B15" s="51">
        <v>4.2060100002E10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2.75" customHeight="1">
      <c r="A16" s="50" t="s">
        <v>64</v>
      </c>
      <c r="B16" s="51">
        <v>4.2020400002E10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2.75" customHeight="1">
      <c r="A17" s="50" t="s">
        <v>65</v>
      </c>
      <c r="B17" s="51">
        <v>4.2060100002E10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2.75" customHeight="1">
      <c r="A18" s="50" t="s">
        <v>66</v>
      </c>
      <c r="B18" s="51">
        <v>4.2060100002E10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2.75" customHeight="1">
      <c r="A19" s="50" t="s">
        <v>67</v>
      </c>
      <c r="B19" s="51">
        <v>4.2020400002E10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2.75" customHeight="1">
      <c r="A20" s="50" t="s">
        <v>68</v>
      </c>
      <c r="B20" s="51">
        <v>4.1010100002E10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2.75" customHeight="1">
      <c r="A21" s="50" t="s">
        <v>69</v>
      </c>
      <c r="B21" s="51">
        <v>4.2010300001E10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2.75" customHeight="1">
      <c r="A22" s="50" t="s">
        <v>70</v>
      </c>
      <c r="B22" s="51">
        <v>4.2010300001E10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2.75" customHeight="1">
      <c r="A23" s="50" t="s">
        <v>71</v>
      </c>
      <c r="B23" s="51">
        <v>4.2060100002E10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2.75" customHeight="1">
      <c r="A24" s="50" t="s">
        <v>72</v>
      </c>
      <c r="B24" s="51">
        <v>4.1010100002E10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2.75" customHeight="1">
      <c r="A25" s="50" t="s">
        <v>73</v>
      </c>
      <c r="B25" s="51">
        <v>4.2060100002E10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2.75" customHeight="1">
      <c r="A26" s="50" t="s">
        <v>74</v>
      </c>
      <c r="B26" s="51">
        <v>4.2060100002E10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2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2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2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2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2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2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2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2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2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2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2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2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2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2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2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2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2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2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2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2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2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2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2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2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2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2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2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2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2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2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2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2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2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2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2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2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2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2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2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2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2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2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2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2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2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2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2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2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2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2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2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2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2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2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2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2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2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2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2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2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2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2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2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2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2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2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2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2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2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2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2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2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2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2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2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2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2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2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2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2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2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2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2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2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2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2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2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2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2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2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2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2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2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2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2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2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2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2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2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2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2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2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2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2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2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2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2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2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2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2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2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2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2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2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2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2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2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2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2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2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2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2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2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2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2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2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2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2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2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2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2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2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2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2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2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2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2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2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2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2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2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2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2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2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2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2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2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2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2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2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2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2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2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2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2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2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2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2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2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2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2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2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2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2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2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2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2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2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2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2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2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2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2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2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2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2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2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2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2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2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2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2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2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2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2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2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2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2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2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2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2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2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2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2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2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2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2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2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2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2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2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2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2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2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2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2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2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2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2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2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2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2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2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2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2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2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2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2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2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2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2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2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2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2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2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2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2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2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2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2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2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2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2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2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2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2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2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2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2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2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2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2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2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2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2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2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2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2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2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2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2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2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2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2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2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2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2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2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2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2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2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2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2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2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2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2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2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2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2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2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2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2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2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2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2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2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2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2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2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2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2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2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2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2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2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2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2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2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2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2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2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2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2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2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2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2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2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2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2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2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2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2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2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2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2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2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2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2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2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2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2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2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2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2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2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2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2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2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2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2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2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2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2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2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2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2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2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2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2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2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2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2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2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2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2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2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2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2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2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2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2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2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2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2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2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2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2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2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2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2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2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2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2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2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2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2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2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2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2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2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2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2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2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2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2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2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2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2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2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2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2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2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2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2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2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2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2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2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2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2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2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2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2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2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2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2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2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2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2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2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2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2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2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2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2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2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2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2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2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2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2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2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2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2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2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2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2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2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2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2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2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2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2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2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2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2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2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2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2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2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2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2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2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2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2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2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2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2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2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2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2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2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2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2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2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2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2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2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2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2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2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2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2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2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2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2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2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2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2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2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2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2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2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2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2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2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2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2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2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2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2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2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2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2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2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2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2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2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2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2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2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2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2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2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2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2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2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2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2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2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2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2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2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2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2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2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2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2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2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2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2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2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2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2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2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2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2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2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2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2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2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2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2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2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2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2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2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2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2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2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2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2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2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2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2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2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2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2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2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2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2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2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2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2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2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2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2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2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2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2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2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2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2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2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2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2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2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2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2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2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2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2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2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2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2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2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2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2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2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2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2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2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2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2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2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2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2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2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2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2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2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2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2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2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2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2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2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2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2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2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2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2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2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2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2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2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2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2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2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2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2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2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2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2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2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2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2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2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2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2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2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2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2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2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2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2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2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2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2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2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2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2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2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2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2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2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2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2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2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2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2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2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2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2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2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2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2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2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2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2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2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2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2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2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2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2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2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2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2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2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2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2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2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2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2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2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2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2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2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2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2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2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2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2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2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2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2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2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2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2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2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2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2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2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2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2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2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2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2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2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2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2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2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2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2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2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2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2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2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2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2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2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2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2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2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2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2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2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2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2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2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2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2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2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2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2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2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2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2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2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2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2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2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2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2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2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2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2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2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2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2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2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2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2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2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2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2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2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2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2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2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2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2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2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2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2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2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2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2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2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2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2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2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2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2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2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2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2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2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2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2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2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2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2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2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2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2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2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2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2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2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2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2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2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2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2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2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2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2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2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2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2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2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2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2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2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2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2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2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2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2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2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2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2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2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2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2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2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2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2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2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2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2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2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2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2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2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2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2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2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2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2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2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2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2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2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2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2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2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2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2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2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2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2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2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2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2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2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2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2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2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2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2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2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2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2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2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2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2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2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2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2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2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2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2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2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2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2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2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2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2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2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2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2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2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2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2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2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2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2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2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2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2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2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2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2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2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2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2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2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2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2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2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2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2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2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2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2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2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2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2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2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2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2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2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2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2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2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2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2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2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2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2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2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2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2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2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2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2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2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2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2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2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2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2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2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2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2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2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2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2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2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2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2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2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2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2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2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2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2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2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2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2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2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2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2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2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2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2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2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2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2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2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2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2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2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2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2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2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2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2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2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2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2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2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2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2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2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2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2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2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2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2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2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2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2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2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2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2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2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2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2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2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2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2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2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2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2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2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2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2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2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2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2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2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2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2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2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2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2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2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2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2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2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2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2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2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2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2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2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2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2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2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2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2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2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2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2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2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2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2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2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2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2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2020-06-03T20:34:33Z</dcterms:created>
  <dc:creator>Pedro Vinicius Ramos</dc:creator>
</cp:coreProperties>
</file>